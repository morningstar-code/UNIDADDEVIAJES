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cmpeguero/Library/CloudStorage/OneDrive-Personal/CYBER/ONU/AHC on Cybercrime/"/>
    </mc:Choice>
  </mc:AlternateContent>
  <xr:revisionPtr revIDLastSave="0" documentId="8_{A262C928-5D82-A743-A8C3-1D0F94101945}" xr6:coauthVersionLast="47" xr6:coauthVersionMax="47" xr10:uidLastSave="{00000000-0000-0000-0000-000000000000}"/>
  <bookViews>
    <workbookView xWindow="2300" yWindow="760" windowWidth="26400" windowHeight="15680" activeTab="1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2" i="2"/>
  <c r="G11" i="2"/>
  <c r="G9" i="2"/>
  <c r="G8" i="2"/>
  <c r="L6" i="2"/>
  <c r="H6" i="2"/>
  <c r="B7" i="2"/>
  <c r="B6" i="2"/>
  <c r="B5" i="2"/>
  <c r="B4" i="2"/>
  <c r="L48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10" i="1"/>
  <c r="L46" i="1" l="1"/>
  <c r="J46" i="1"/>
</calcChain>
</file>

<file path=xl/sharedStrings.xml><?xml version="1.0" encoding="utf-8"?>
<sst xmlns="http://schemas.openxmlformats.org/spreadsheetml/2006/main" count="128" uniqueCount="68">
  <si>
    <t xml:space="preserve">REPORTE DE GASTOS DE VIAJE </t>
  </si>
  <si>
    <t xml:space="preserve">INSTITUCION  </t>
  </si>
  <si>
    <t>INSTITUTO DOMINICANO DE LAS TELECOMUNICACIONES</t>
  </si>
  <si>
    <t xml:space="preserve">DEPARTAMENTO </t>
  </si>
  <si>
    <t xml:space="preserve">NOMBRE DEL VIAJERO </t>
  </si>
  <si>
    <t xml:space="preserve">CEDULA </t>
  </si>
  <si>
    <t xml:space="preserve">DESTINO DEL VIAJE </t>
  </si>
  <si>
    <t xml:space="preserve">FECHA DE REGRESO </t>
  </si>
  <si>
    <t>NOMBRE DEL EVENTO</t>
  </si>
  <si>
    <t>FECHA CONSUMO</t>
  </si>
  <si>
    <t xml:space="preserve">NUMERO DE FACTURA </t>
  </si>
  <si>
    <t xml:space="preserve">DESCRIPCION O NOMBRE COMERCIO </t>
  </si>
  <si>
    <t>MONTO</t>
  </si>
  <si>
    <t xml:space="preserve">HOTEL </t>
  </si>
  <si>
    <t xml:space="preserve">COMIDA </t>
  </si>
  <si>
    <t xml:space="preserve">TRANSPORTE </t>
  </si>
  <si>
    <t xml:space="preserve">COMUNICACIÓN </t>
  </si>
  <si>
    <t xml:space="preserve">VARIOS </t>
  </si>
  <si>
    <t xml:space="preserve">TIPO DE MONEDA </t>
  </si>
  <si>
    <t xml:space="preserve">SUB-TOTAL </t>
  </si>
  <si>
    <t xml:space="preserve">TASA DE CAMBIO </t>
  </si>
  <si>
    <t>TOTAL RD$</t>
  </si>
  <si>
    <t xml:space="preserve">OBSERVACION </t>
  </si>
  <si>
    <t xml:space="preserve">TOTAL MONEDA EXTRANJERA </t>
  </si>
  <si>
    <t xml:space="preserve">          AVANCE A SERVIDOR EN CHEQUE / LB </t>
  </si>
  <si>
    <t xml:space="preserve">DEVOLUCION A LA CUENTA REP.DOM </t>
  </si>
  <si>
    <t xml:space="preserve">FECHA DEL REPORTE </t>
  </si>
  <si>
    <t xml:space="preserve">ENLACE INSTITUCIONAL Y/O RESPONSABLE </t>
  </si>
  <si>
    <t xml:space="preserve">20% CONSIDERADO GASTOS MENORES </t>
  </si>
  <si>
    <t xml:space="preserve">FIRMA SERVIDOR PUBLICO   </t>
  </si>
  <si>
    <t xml:space="preserve">NOMBRE </t>
  </si>
  <si>
    <t xml:space="preserve">UNIDAD DE VIAJES </t>
  </si>
  <si>
    <t xml:space="preserve">FIRMA </t>
  </si>
  <si>
    <r>
      <rPr>
        <b/>
        <sz val="16"/>
        <color theme="1"/>
        <rFont val="Calibri"/>
        <family val="2"/>
        <scheme val="minor"/>
      </rPr>
      <t>NOTA</t>
    </r>
    <r>
      <rPr>
        <sz val="16"/>
        <color theme="1"/>
        <rFont val="Calibri"/>
        <family val="2"/>
        <scheme val="minor"/>
      </rPr>
      <t xml:space="preserve">: ESTE FORMULARIO DEBE SER ENVIADO CON LOS ANEXOS DE JUSTIFICACION DE GASTOS Y VOLANTE DE DEPOSITO DE REMANENTES EN LOS CASOS QUE CORREPONDA / NO INCLUIR FACTURAS DE BEBIDAS ALCOHOLICAS </t>
    </r>
  </si>
  <si>
    <t>20% GASTOS MENORES</t>
  </si>
  <si>
    <t>TOTAL VIATICOS</t>
  </si>
  <si>
    <t>GASTOS REALIZADOS</t>
  </si>
  <si>
    <t>RESTANTE A DEVOLVER</t>
  </si>
  <si>
    <t>Enrique Tomás MAD</t>
  </si>
  <si>
    <t>Hotel Melia Viena</t>
  </si>
  <si>
    <t>Paco Ribera</t>
  </si>
  <si>
    <t>Ginza</t>
  </si>
  <si>
    <t>Sha Guo</t>
  </si>
  <si>
    <t>Lugeck</t>
  </si>
  <si>
    <t>El Gaucho</t>
  </si>
  <si>
    <t>Altia</t>
  </si>
  <si>
    <t>Beef &amp; Glory</t>
  </si>
  <si>
    <t>Plachuttas</t>
  </si>
  <si>
    <t>Glasswing</t>
  </si>
  <si>
    <t>Strandcafe</t>
  </si>
  <si>
    <t>Grune Bar</t>
  </si>
  <si>
    <t>Restaurant UNO</t>
  </si>
  <si>
    <t>Da Capo</t>
  </si>
  <si>
    <t>Onyx</t>
  </si>
  <si>
    <t>Daihachi Sushi</t>
  </si>
  <si>
    <t>USD</t>
  </si>
  <si>
    <t>EURO</t>
  </si>
  <si>
    <t>FECHA DE SALIDA</t>
  </si>
  <si>
    <t>Transporte</t>
  </si>
  <si>
    <t>Traslado hotel-aeropuerto</t>
  </si>
  <si>
    <t>Traslado aeropuerto-hotel</t>
  </si>
  <si>
    <t>Claudio Miguel Peguero Castillo</t>
  </si>
  <si>
    <t>001-123065-5</t>
  </si>
  <si>
    <t>Viena, Austria</t>
  </si>
  <si>
    <t>Sesión Comité Ad-Hoc Ciberdelitos ONU</t>
  </si>
  <si>
    <t>MCK9KC4C-242</t>
  </si>
  <si>
    <t xml:space="preserve"> 72070214603500</t>
  </si>
  <si>
    <t>MBK8FC4C-517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</si>
</sst>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[$$-409]* #,##0.00_);_([$$-409]* \(#,##0.00\);_([$$-409]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49" fontId="3" fillId="3" borderId="4" xfId="0" applyNumberFormat="1" applyFont="1" applyFill="1" applyBorder="1" applyProtection="1">
      <protection locked="0"/>
    </xf>
    <xf numFmtId="49" fontId="3" fillId="3" borderId="0" xfId="0" applyNumberFormat="1" applyFont="1" applyFill="1" applyAlignment="1" applyProtection="1">
      <alignment horizontal="center" vertical="center" wrapText="1"/>
      <protection locked="0"/>
    </xf>
    <xf numFmtId="14" fontId="3" fillId="0" borderId="15" xfId="0" applyNumberFormat="1" applyFont="1" applyBorder="1" applyAlignment="1" applyProtection="1">
      <alignment horizontal="center"/>
      <protection locked="0"/>
    </xf>
    <xf numFmtId="49" fontId="3" fillId="3" borderId="4" xfId="0" applyNumberFormat="1" applyFont="1" applyFill="1" applyBorder="1" applyAlignment="1" applyProtection="1">
      <alignment horizontal="center"/>
      <protection locked="0"/>
    </xf>
    <xf numFmtId="49" fontId="3" fillId="3" borderId="1" xfId="0" applyNumberFormat="1" applyFont="1" applyFill="1" applyBorder="1" applyAlignment="1" applyProtection="1">
      <alignment horizontal="center" wrapText="1"/>
      <protection locked="0"/>
    </xf>
    <xf numFmtId="49" fontId="3" fillId="3" borderId="15" xfId="0" applyNumberFormat="1" applyFont="1" applyFill="1" applyBorder="1" applyAlignment="1" applyProtection="1">
      <alignment horizontal="center" wrapText="1"/>
      <protection locked="0"/>
    </xf>
    <xf numFmtId="49" fontId="3" fillId="3" borderId="3" xfId="0" applyNumberFormat="1" applyFont="1" applyFill="1" applyBorder="1" applyAlignment="1" applyProtection="1">
      <alignment horizontal="center"/>
      <protection locked="0"/>
    </xf>
    <xf numFmtId="0" fontId="4" fillId="0" borderId="19" xfId="0" applyFont="1" applyBorder="1" applyProtection="1">
      <protection locked="0"/>
    </xf>
    <xf numFmtId="43" fontId="4" fillId="4" borderId="19" xfId="1" applyFont="1" applyFill="1" applyBorder="1" applyProtection="1"/>
    <xf numFmtId="43" fontId="3" fillId="4" borderId="20" xfId="1" applyFont="1" applyFill="1" applyBorder="1" applyProtection="1"/>
    <xf numFmtId="43" fontId="4" fillId="0" borderId="19" xfId="1" applyFont="1" applyBorder="1" applyProtection="1">
      <protection locked="0"/>
    </xf>
    <xf numFmtId="0" fontId="4" fillId="0" borderId="23" xfId="0" applyFont="1" applyBorder="1" applyProtection="1">
      <protection locked="0"/>
    </xf>
    <xf numFmtId="43" fontId="4" fillId="0" borderId="23" xfId="1" applyFont="1" applyBorder="1" applyProtection="1">
      <protection locked="0"/>
    </xf>
    <xf numFmtId="43" fontId="3" fillId="4" borderId="28" xfId="0" applyNumberFormat="1" applyFont="1" applyFill="1" applyBorder="1"/>
    <xf numFmtId="49" fontId="3" fillId="4" borderId="27" xfId="0" applyNumberFormat="1" applyFont="1" applyFill="1" applyBorder="1" applyAlignment="1" applyProtection="1">
      <alignment horizontal="right"/>
      <protection locked="0"/>
    </xf>
    <xf numFmtId="43" fontId="3" fillId="4" borderId="28" xfId="1" applyFont="1" applyFill="1" applyBorder="1" applyProtection="1"/>
    <xf numFmtId="43" fontId="3" fillId="4" borderId="4" xfId="1" applyFont="1" applyFill="1" applyBorder="1" applyProtection="1">
      <protection locked="0"/>
    </xf>
    <xf numFmtId="43" fontId="5" fillId="4" borderId="4" xfId="1" applyFont="1" applyFill="1" applyBorder="1" applyProtection="1"/>
    <xf numFmtId="49" fontId="3" fillId="3" borderId="4" xfId="0" applyNumberFormat="1" applyFont="1" applyFill="1" applyBorder="1" applyAlignment="1" applyProtection="1">
      <alignment horizontal="left"/>
      <protection locked="0"/>
    </xf>
    <xf numFmtId="49" fontId="3" fillId="3" borderId="28" xfId="0" applyNumberFormat="1" applyFont="1" applyFill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49" fontId="3" fillId="3" borderId="4" xfId="0" applyNumberFormat="1" applyFont="1" applyFill="1" applyBorder="1" applyAlignment="1" applyProtection="1">
      <alignment vertical="center"/>
      <protection locked="0"/>
    </xf>
    <xf numFmtId="49" fontId="3" fillId="3" borderId="4" xfId="0" applyNumberFormat="1" applyFont="1" applyFill="1" applyBorder="1" applyAlignment="1" applyProtection="1">
      <alignment horizontal="center" vertical="center" wrapText="1"/>
      <protection locked="0"/>
    </xf>
    <xf numFmtId="14" fontId="3" fillId="0" borderId="15" xfId="0" applyNumberFormat="1" applyFont="1" applyBorder="1" applyAlignment="1" applyProtection="1">
      <alignment horizontal="center" vertical="center"/>
      <protection locked="0"/>
    </xf>
    <xf numFmtId="0" fontId="4" fillId="4" borderId="9" xfId="0" applyFont="1" applyFill="1" applyBorder="1" applyAlignment="1" applyProtection="1">
      <alignment vertical="center"/>
      <protection locked="0"/>
    </xf>
    <xf numFmtId="0" fontId="4" fillId="4" borderId="10" xfId="0" applyFont="1" applyFill="1" applyBorder="1" applyAlignment="1" applyProtection="1">
      <alignment vertical="center"/>
      <protection locked="0"/>
    </xf>
    <xf numFmtId="0" fontId="4" fillId="4" borderId="11" xfId="0" applyFont="1" applyFill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9" xfId="0" applyNumberFormat="1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49" fontId="3" fillId="3" borderId="9" xfId="0" applyNumberFormat="1" applyFont="1" applyFill="1" applyBorder="1" applyAlignment="1" applyProtection="1">
      <alignment horizontal="center"/>
      <protection locked="0"/>
    </xf>
    <xf numFmtId="49" fontId="3" fillId="3" borderId="10" xfId="0" applyNumberFormat="1" applyFont="1" applyFill="1" applyBorder="1" applyAlignment="1" applyProtection="1">
      <alignment horizontal="center"/>
      <protection locked="0"/>
    </xf>
    <xf numFmtId="49" fontId="3" fillId="3" borderId="11" xfId="0" applyNumberFormat="1" applyFont="1" applyFill="1" applyBorder="1" applyAlignment="1" applyProtection="1">
      <alignment horizontal="center"/>
      <protection locked="0"/>
    </xf>
    <xf numFmtId="49" fontId="3" fillId="5" borderId="9" xfId="0" applyNumberFormat="1" applyFont="1" applyFill="1" applyBorder="1" applyAlignment="1" applyProtection="1">
      <alignment horizontal="center"/>
      <protection locked="0"/>
    </xf>
    <xf numFmtId="49" fontId="3" fillId="5" borderId="10" xfId="0" applyNumberFormat="1" applyFont="1" applyFill="1" applyBorder="1" applyAlignment="1" applyProtection="1">
      <alignment horizontal="center"/>
      <protection locked="0"/>
    </xf>
    <xf numFmtId="49" fontId="3" fillId="5" borderId="11" xfId="0" applyNumberFormat="1" applyFont="1" applyFill="1" applyBorder="1" applyAlignment="1" applyProtection="1">
      <alignment horizontal="center"/>
      <protection locked="0"/>
    </xf>
    <xf numFmtId="49" fontId="3" fillId="3" borderId="15" xfId="0" applyNumberFormat="1" applyFont="1" applyFill="1" applyBorder="1" applyAlignment="1" applyProtection="1">
      <alignment horizontal="left" vertical="center" wrapText="1"/>
      <protection locked="0"/>
    </xf>
    <xf numFmtId="49" fontId="3" fillId="3" borderId="24" xfId="0" applyNumberFormat="1" applyFont="1" applyFill="1" applyBorder="1" applyAlignment="1" applyProtection="1">
      <alignment horizontal="left" vertical="center" wrapText="1"/>
      <protection locked="0"/>
    </xf>
    <xf numFmtId="49" fontId="3" fillId="3" borderId="28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5" xfId="0" applyFont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3" fillId="0" borderId="27" xfId="0" applyFont="1" applyBorder="1" applyAlignment="1" applyProtection="1">
      <alignment horizontal="center"/>
      <protection locked="0"/>
    </xf>
    <xf numFmtId="0" fontId="3" fillId="0" borderId="30" xfId="0" applyFont="1" applyBorder="1" applyAlignment="1" applyProtection="1">
      <alignment horizontal="center"/>
      <protection locked="0"/>
    </xf>
    <xf numFmtId="49" fontId="3" fillId="0" borderId="9" xfId="0" applyNumberFormat="1" applyFont="1" applyBorder="1" applyAlignment="1" applyProtection="1">
      <alignment horizontal="center"/>
      <protection locked="0"/>
    </xf>
    <xf numFmtId="49" fontId="3" fillId="0" borderId="10" xfId="0" applyNumberFormat="1" applyFont="1" applyBorder="1" applyAlignment="1" applyProtection="1">
      <alignment horizontal="center"/>
      <protection locked="0"/>
    </xf>
    <xf numFmtId="49" fontId="3" fillId="0" borderId="11" xfId="0" applyNumberFormat="1" applyFont="1" applyBorder="1" applyAlignment="1" applyProtection="1">
      <alignment horizontal="center"/>
      <protection locked="0"/>
    </xf>
    <xf numFmtId="49" fontId="6" fillId="3" borderId="9" xfId="0" applyNumberFormat="1" applyFont="1" applyFill="1" applyBorder="1" applyAlignment="1" applyProtection="1">
      <alignment horizontal="center"/>
      <protection locked="0"/>
    </xf>
    <xf numFmtId="49" fontId="6" fillId="3" borderId="10" xfId="0" applyNumberFormat="1" applyFont="1" applyFill="1" applyBorder="1" applyAlignment="1" applyProtection="1">
      <alignment horizontal="center"/>
      <protection locked="0"/>
    </xf>
    <xf numFmtId="49" fontId="6" fillId="3" borderId="11" xfId="0" applyNumberFormat="1" applyFont="1" applyFill="1" applyBorder="1" applyAlignment="1" applyProtection="1">
      <alignment horizontal="center"/>
      <protection locked="0"/>
    </xf>
    <xf numFmtId="49" fontId="3" fillId="3" borderId="15" xfId="0" applyNumberFormat="1" applyFont="1" applyFill="1" applyBorder="1" applyAlignment="1" applyProtection="1">
      <alignment horizontal="left" vertical="center"/>
      <protection locked="0"/>
    </xf>
    <xf numFmtId="49" fontId="3" fillId="3" borderId="24" xfId="0" applyNumberFormat="1" applyFont="1" applyFill="1" applyBorder="1" applyAlignment="1" applyProtection="1">
      <alignment horizontal="left" vertical="center"/>
      <protection locked="0"/>
    </xf>
    <xf numFmtId="49" fontId="3" fillId="3" borderId="28" xfId="0" applyNumberFormat="1" applyFont="1" applyFill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/>
      <protection locked="0"/>
    </xf>
    <xf numFmtId="49" fontId="3" fillId="0" borderId="2" xfId="0" applyNumberFormat="1" applyFont="1" applyBorder="1" applyAlignment="1" applyProtection="1">
      <alignment horizontal="center"/>
      <protection locked="0"/>
    </xf>
    <xf numFmtId="49" fontId="3" fillId="0" borderId="3" xfId="0" applyNumberFormat="1" applyFont="1" applyBorder="1" applyAlignment="1" applyProtection="1">
      <alignment horizontal="center"/>
      <protection locked="0"/>
    </xf>
    <xf numFmtId="49" fontId="3" fillId="0" borderId="25" xfId="0" applyNumberFormat="1" applyFont="1" applyBorder="1" applyAlignment="1" applyProtection="1">
      <alignment horizontal="center"/>
      <protection locked="0"/>
    </xf>
    <xf numFmtId="49" fontId="3" fillId="0" borderId="0" xfId="0" applyNumberFormat="1" applyFont="1" applyAlignment="1" applyProtection="1">
      <alignment horizontal="center"/>
      <protection locked="0"/>
    </xf>
    <xf numFmtId="49" fontId="3" fillId="0" borderId="26" xfId="0" applyNumberFormat="1" applyFont="1" applyBorder="1" applyAlignment="1" applyProtection="1">
      <alignment horizontal="center"/>
      <protection locked="0"/>
    </xf>
    <xf numFmtId="49" fontId="3" fillId="0" borderId="27" xfId="0" applyNumberFormat="1" applyFont="1" applyBorder="1" applyAlignment="1" applyProtection="1">
      <alignment horizontal="center"/>
      <protection locked="0"/>
    </xf>
    <xf numFmtId="49" fontId="3" fillId="0" borderId="29" xfId="0" applyNumberFormat="1" applyFont="1" applyBorder="1" applyAlignment="1" applyProtection="1">
      <alignment horizontal="center"/>
      <protection locked="0"/>
    </xf>
    <xf numFmtId="49" fontId="3" fillId="0" borderId="30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29" xfId="0" applyFont="1" applyBorder="1" applyAlignment="1" applyProtection="1">
      <alignment horizontal="center"/>
      <protection locked="0"/>
    </xf>
    <xf numFmtId="49" fontId="3" fillId="4" borderId="9" xfId="0" applyNumberFormat="1" applyFont="1" applyFill="1" applyBorder="1" applyAlignment="1" applyProtection="1">
      <alignment horizontal="right"/>
      <protection locked="0"/>
    </xf>
    <xf numFmtId="49" fontId="3" fillId="4" borderId="10" xfId="0" applyNumberFormat="1" applyFont="1" applyFill="1" applyBorder="1" applyAlignment="1" applyProtection="1">
      <alignment horizontal="right"/>
      <protection locked="0"/>
    </xf>
    <xf numFmtId="49" fontId="3" fillId="4" borderId="11" xfId="0" applyNumberFormat="1" applyFont="1" applyFill="1" applyBorder="1" applyAlignment="1" applyProtection="1">
      <alignment horizontal="right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49" fontId="3" fillId="3" borderId="16" xfId="0" applyNumberFormat="1" applyFont="1" applyFill="1" applyBorder="1" applyAlignment="1" applyProtection="1">
      <alignment horizontal="left" wrapText="1"/>
      <protection locked="0"/>
    </xf>
    <xf numFmtId="49" fontId="3" fillId="3" borderId="18" xfId="0" applyNumberFormat="1" applyFont="1" applyFill="1" applyBorder="1" applyAlignment="1" applyProtection="1">
      <alignment horizontal="left" wrapText="1"/>
      <protection locked="0"/>
    </xf>
    <xf numFmtId="49" fontId="3" fillId="3" borderId="16" xfId="0" applyNumberFormat="1" applyFont="1" applyFill="1" applyBorder="1" applyAlignment="1" applyProtection="1">
      <alignment horizontal="center" wrapText="1"/>
      <protection locked="0"/>
    </xf>
    <xf numFmtId="49" fontId="3" fillId="3" borderId="18" xfId="0" applyNumberFormat="1" applyFont="1" applyFill="1" applyBorder="1" applyAlignment="1" applyProtection="1">
      <alignment horizontal="center" wrapText="1"/>
      <protection locked="0"/>
    </xf>
    <xf numFmtId="49" fontId="3" fillId="3" borderId="5" xfId="0" applyNumberFormat="1" applyFont="1" applyFill="1" applyBorder="1" applyAlignment="1" applyProtection="1">
      <alignment horizontal="center"/>
      <protection locked="0"/>
    </xf>
    <xf numFmtId="49" fontId="3" fillId="3" borderId="6" xfId="0" applyNumberFormat="1" applyFont="1" applyFill="1" applyBorder="1" applyAlignment="1" applyProtection="1">
      <alignment horizontal="center"/>
      <protection locked="0"/>
    </xf>
    <xf numFmtId="49" fontId="3" fillId="3" borderId="17" xfId="0" applyNumberFormat="1" applyFont="1" applyFill="1" applyBorder="1" applyAlignment="1" applyProtection="1">
      <alignment horizontal="center"/>
      <protection locked="0"/>
    </xf>
    <xf numFmtId="49" fontId="3" fillId="3" borderId="8" xfId="0" applyNumberFormat="1" applyFont="1" applyFill="1" applyBorder="1" applyAlignment="1" applyProtection="1">
      <alignment horizontal="center"/>
      <protection locked="0"/>
    </xf>
    <xf numFmtId="0" fontId="4" fillId="5" borderId="9" xfId="0" applyFont="1" applyFill="1" applyBorder="1" applyAlignment="1" applyProtection="1">
      <alignment horizontal="center"/>
      <protection locked="0"/>
    </xf>
    <xf numFmtId="0" fontId="4" fillId="5" borderId="10" xfId="0" applyFont="1" applyFill="1" applyBorder="1" applyAlignment="1" applyProtection="1">
      <alignment horizontal="center"/>
      <protection locked="0"/>
    </xf>
    <xf numFmtId="0" fontId="4" fillId="5" borderId="11" xfId="0" applyFont="1" applyFill="1" applyBorder="1" applyAlignment="1" applyProtection="1">
      <alignment horizontal="center"/>
      <protection locked="0"/>
    </xf>
    <xf numFmtId="49" fontId="3" fillId="4" borderId="1" xfId="0" applyNumberFormat="1" applyFont="1" applyFill="1" applyBorder="1" applyAlignment="1" applyProtection="1">
      <alignment horizontal="right"/>
      <protection locked="0"/>
    </xf>
    <xf numFmtId="49" fontId="3" fillId="4" borderId="2" xfId="0" applyNumberFormat="1" applyFont="1" applyFill="1" applyBorder="1" applyAlignment="1" applyProtection="1">
      <alignment horizontal="right"/>
      <protection locked="0"/>
    </xf>
    <xf numFmtId="0" fontId="4" fillId="4" borderId="19" xfId="0" applyFont="1" applyFill="1" applyBorder="1" applyAlignment="1" applyProtection="1">
      <alignment horizontal="center"/>
      <protection locked="0"/>
    </xf>
    <xf numFmtId="49" fontId="3" fillId="4" borderId="27" xfId="0" applyNumberFormat="1" applyFont="1" applyFill="1" applyBorder="1" applyAlignment="1" applyProtection="1">
      <alignment horizontal="center" wrapText="1"/>
      <protection locked="0"/>
    </xf>
    <xf numFmtId="0" fontId="4" fillId="4" borderId="10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166" fontId="4" fillId="0" borderId="19" xfId="1" applyNumberFormat="1" applyFont="1" applyBorder="1" applyProtection="1">
      <protection locked="0"/>
    </xf>
    <xf numFmtId="0" fontId="4" fillId="0" borderId="5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locked="0"/>
    </xf>
    <xf numFmtId="0" fontId="4" fillId="0" borderId="8" xfId="0" applyFont="1" applyBorder="1" applyAlignment="1" applyProtection="1">
      <alignment horizontal="left"/>
      <protection locked="0"/>
    </xf>
    <xf numFmtId="0" fontId="4" fillId="0" borderId="5" xfId="0" applyFont="1" applyBorder="1" applyAlignment="1" applyProtection="1">
      <protection locked="0"/>
    </xf>
    <xf numFmtId="0" fontId="4" fillId="0" borderId="6" xfId="0" applyFont="1" applyBorder="1" applyAlignment="1" applyProtection="1">
      <protection locked="0"/>
    </xf>
    <xf numFmtId="0" fontId="4" fillId="0" borderId="7" xfId="0" applyFont="1" applyBorder="1" applyAlignment="1" applyProtection="1">
      <protection locked="0"/>
    </xf>
    <xf numFmtId="0" fontId="4" fillId="0" borderId="8" xfId="0" applyFont="1" applyBorder="1" applyAlignment="1" applyProtection="1">
      <protection locked="0"/>
    </xf>
    <xf numFmtId="0" fontId="4" fillId="0" borderId="9" xfId="0" applyFont="1" applyBorder="1" applyAlignment="1" applyProtection="1">
      <protection locked="0"/>
    </xf>
    <xf numFmtId="0" fontId="4" fillId="0" borderId="10" xfId="0" applyFont="1" applyBorder="1" applyAlignment="1" applyProtection="1">
      <protection locked="0"/>
    </xf>
    <xf numFmtId="0" fontId="4" fillId="0" borderId="11" xfId="0" applyFont="1" applyBorder="1" applyAlignment="1" applyProtection="1">
      <protection locked="0"/>
    </xf>
    <xf numFmtId="0" fontId="4" fillId="0" borderId="12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horizontal="left" vertical="center"/>
      <protection locked="0"/>
    </xf>
    <xf numFmtId="14" fontId="4" fillId="0" borderId="21" xfId="0" applyNumberFormat="1" applyFont="1" applyBorder="1" applyAlignment="1" applyProtection="1">
      <alignment horizontal="center"/>
      <protection locked="0"/>
    </xf>
    <xf numFmtId="14" fontId="4" fillId="0" borderId="22" xfId="0" applyNumberFormat="1" applyFont="1" applyBorder="1" applyAlignment="1" applyProtection="1">
      <alignment horizontal="center"/>
      <protection locked="0"/>
    </xf>
    <xf numFmtId="0" fontId="4" fillId="0" borderId="19" xfId="0" applyFont="1" applyBorder="1" applyAlignment="1" applyProtection="1">
      <alignment horizontal="left"/>
      <protection locked="0"/>
    </xf>
    <xf numFmtId="0" fontId="4" fillId="0" borderId="23" xfId="0" applyFont="1" applyBorder="1" applyAlignment="1" applyProtection="1">
      <alignment horizontal="left"/>
      <protection locked="0"/>
    </xf>
    <xf numFmtId="49" fontId="4" fillId="0" borderId="19" xfId="2" applyNumberFormat="1" applyFont="1" applyBorder="1" applyAlignment="1" applyProtection="1">
      <alignment horizontal="left"/>
      <protection locked="0"/>
    </xf>
    <xf numFmtId="0" fontId="4" fillId="0" borderId="9" xfId="0" applyFont="1" applyBorder="1" applyAlignment="1" applyProtection="1">
      <alignment horizontal="left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left"/>
      <protection locked="0"/>
    </xf>
    <xf numFmtId="0" fontId="4" fillId="0" borderId="13" xfId="0" applyFont="1" applyBorder="1" applyAlignment="1" applyProtection="1">
      <alignment horizontal="left"/>
      <protection locked="0"/>
    </xf>
    <xf numFmtId="0" fontId="4" fillId="0" borderId="14" xfId="0" applyFont="1" applyBorder="1" applyAlignment="1" applyProtection="1">
      <alignment horizontal="left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6"/>
  <sheetViews>
    <sheetView zoomScaleNormal="100" workbookViewId="0">
      <selection activeCell="H6" sqref="H6"/>
    </sheetView>
  </sheetViews>
  <sheetFormatPr baseColWidth="10" defaultColWidth="11.5" defaultRowHeight="15" x14ac:dyDescent="0.2"/>
  <cols>
    <col min="1" max="2" width="31.6640625" customWidth="1"/>
    <col min="3" max="3" width="35.5" customWidth="1"/>
    <col min="4" max="4" width="19.33203125" customWidth="1"/>
    <col min="5" max="5" width="25.1640625" customWidth="1"/>
    <col min="6" max="6" width="9.5" hidden="1" customWidth="1"/>
    <col min="7" max="7" width="40.6640625" customWidth="1"/>
    <col min="8" max="8" width="22.6640625" customWidth="1"/>
    <col min="9" max="9" width="28.33203125" style="93" customWidth="1"/>
    <col min="10" max="10" width="28.33203125" customWidth="1"/>
    <col min="11" max="11" width="25.6640625" customWidth="1"/>
    <col min="12" max="12" width="27.83203125" customWidth="1"/>
  </cols>
  <sheetData>
    <row r="1" spans="1:12" ht="38" thickBot="1" x14ac:dyDescent="0.5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1"/>
    </row>
    <row r="2" spans="1:12" ht="24.75" customHeight="1" thickBot="1" x14ac:dyDescent="0.3">
      <c r="A2" s="22" t="s">
        <v>1</v>
      </c>
      <c r="B2" s="95" t="s">
        <v>2</v>
      </c>
      <c r="C2" s="96"/>
      <c r="D2" s="96"/>
      <c r="E2" s="96"/>
      <c r="F2" s="96"/>
      <c r="G2" s="96"/>
      <c r="H2" s="96"/>
      <c r="I2" s="96"/>
      <c r="J2" s="97"/>
      <c r="K2" s="97"/>
      <c r="L2" s="98"/>
    </row>
    <row r="3" spans="1:12" ht="43.5" customHeight="1" thickBot="1" x14ac:dyDescent="0.3">
      <c r="A3" s="22" t="s">
        <v>3</v>
      </c>
      <c r="B3" s="72"/>
      <c r="C3" s="73"/>
      <c r="D3" s="73"/>
      <c r="E3" s="73"/>
      <c r="F3" s="73"/>
      <c r="G3" s="73"/>
      <c r="H3" s="73"/>
      <c r="I3" s="73"/>
      <c r="J3" s="74"/>
      <c r="K3" s="74"/>
      <c r="L3" s="75"/>
    </row>
    <row r="4" spans="1:12" ht="45" customHeight="1" thickBot="1" x14ac:dyDescent="0.3">
      <c r="A4" s="22" t="s">
        <v>4</v>
      </c>
      <c r="B4" s="99" t="s">
        <v>61</v>
      </c>
      <c r="C4" s="100"/>
      <c r="D4" s="100"/>
      <c r="E4" s="100"/>
      <c r="F4" s="100"/>
      <c r="G4" s="100"/>
      <c r="H4" s="100"/>
      <c r="I4" s="100"/>
      <c r="J4" s="101"/>
      <c r="K4" s="101"/>
      <c r="L4" s="102"/>
    </row>
    <row r="5" spans="1:12" ht="31.5" customHeight="1" thickBot="1" x14ac:dyDescent="0.3">
      <c r="A5" s="22" t="s">
        <v>5</v>
      </c>
      <c r="B5" s="103" t="s">
        <v>62</v>
      </c>
      <c r="C5" s="104"/>
      <c r="D5" s="104"/>
      <c r="E5" s="104"/>
      <c r="F5" s="104"/>
      <c r="G5" s="104"/>
      <c r="H5" s="104"/>
      <c r="I5" s="104"/>
      <c r="J5" s="104"/>
      <c r="K5" s="104"/>
      <c r="L5" s="105"/>
    </row>
    <row r="6" spans="1:12" ht="46.5" customHeight="1" thickBot="1" x14ac:dyDescent="0.25">
      <c r="A6" s="22" t="s">
        <v>6</v>
      </c>
      <c r="B6" s="106" t="s">
        <v>63</v>
      </c>
      <c r="C6" s="107"/>
      <c r="D6" s="107"/>
      <c r="E6" s="107"/>
      <c r="F6" s="108"/>
      <c r="G6" s="23" t="s">
        <v>57</v>
      </c>
      <c r="H6" s="24">
        <v>46041</v>
      </c>
      <c r="I6" s="2" t="s">
        <v>7</v>
      </c>
      <c r="J6" s="2"/>
      <c r="K6" s="2"/>
      <c r="L6" s="24">
        <v>46053</v>
      </c>
    </row>
    <row r="7" spans="1:12" ht="57" customHeight="1" thickBot="1" x14ac:dyDescent="0.3">
      <c r="A7" s="22" t="s">
        <v>8</v>
      </c>
      <c r="B7" s="95" t="s">
        <v>64</v>
      </c>
      <c r="C7" s="96"/>
      <c r="D7" s="96"/>
      <c r="E7" s="96"/>
      <c r="F7" s="96"/>
      <c r="G7" s="96"/>
      <c r="H7" s="96"/>
      <c r="I7" s="96"/>
      <c r="J7" s="97"/>
      <c r="K7" s="97"/>
      <c r="L7" s="98"/>
    </row>
    <row r="8" spans="1:12" ht="22" thickBot="1" x14ac:dyDescent="0.3">
      <c r="A8" s="76" t="s">
        <v>9</v>
      </c>
      <c r="B8" s="78" t="s">
        <v>10</v>
      </c>
      <c r="C8" s="78" t="s">
        <v>11</v>
      </c>
      <c r="D8" s="80" t="s">
        <v>12</v>
      </c>
      <c r="E8" s="81"/>
      <c r="F8" s="81"/>
      <c r="G8" s="81"/>
      <c r="H8" s="81"/>
      <c r="I8" s="81"/>
      <c r="J8" s="82"/>
      <c r="K8" s="82"/>
      <c r="L8" s="83"/>
    </row>
    <row r="9" spans="1:12" ht="23" thickBot="1" x14ac:dyDescent="0.3">
      <c r="A9" s="77"/>
      <c r="B9" s="79"/>
      <c r="C9" s="79"/>
      <c r="D9" s="4" t="s">
        <v>13</v>
      </c>
      <c r="E9" s="4" t="s">
        <v>14</v>
      </c>
      <c r="F9" s="4" t="s">
        <v>15</v>
      </c>
      <c r="G9" s="4" t="s">
        <v>16</v>
      </c>
      <c r="H9" s="4" t="s">
        <v>17</v>
      </c>
      <c r="I9" s="5" t="s">
        <v>18</v>
      </c>
      <c r="J9" s="6" t="s">
        <v>19</v>
      </c>
      <c r="K9" s="6" t="s">
        <v>20</v>
      </c>
      <c r="L9" s="7" t="s">
        <v>21</v>
      </c>
    </row>
    <row r="10" spans="1:12" ht="21" x14ac:dyDescent="0.25">
      <c r="A10" s="109">
        <v>46042</v>
      </c>
      <c r="B10" s="111" t="s">
        <v>65</v>
      </c>
      <c r="C10" s="8" t="s">
        <v>60</v>
      </c>
      <c r="D10" s="11"/>
      <c r="E10" s="94"/>
      <c r="F10" s="11"/>
      <c r="G10" s="11"/>
      <c r="H10" s="94">
        <v>60</v>
      </c>
      <c r="I10" s="89" t="s">
        <v>56</v>
      </c>
      <c r="J10" s="9">
        <f>SUM(D10:H10)</f>
        <v>60</v>
      </c>
      <c r="K10" s="9">
        <v>78</v>
      </c>
      <c r="L10" s="10">
        <f>+J10*K10</f>
        <v>4680</v>
      </c>
    </row>
    <row r="11" spans="1:12" ht="21" x14ac:dyDescent="0.25">
      <c r="A11" s="109">
        <v>46042</v>
      </c>
      <c r="B11" s="113" t="s">
        <v>66</v>
      </c>
      <c r="C11" s="8" t="s">
        <v>39</v>
      </c>
      <c r="D11" s="94">
        <v>2002.33</v>
      </c>
      <c r="E11" s="94"/>
      <c r="F11" s="11"/>
      <c r="G11" s="11"/>
      <c r="H11" s="11"/>
      <c r="I11" s="89" t="s">
        <v>55</v>
      </c>
      <c r="J11" s="9">
        <f t="shared" ref="J11:J43" si="0">SUM(D11:H11)</f>
        <v>2002.33</v>
      </c>
      <c r="K11" s="9">
        <v>63.75</v>
      </c>
      <c r="L11" s="10">
        <f t="shared" ref="L11:L43" si="1">+J11*K11</f>
        <v>127648.53749999999</v>
      </c>
    </row>
    <row r="12" spans="1:12" ht="21" x14ac:dyDescent="0.25">
      <c r="A12" s="109">
        <v>46043</v>
      </c>
      <c r="B12" s="111">
        <v>3605</v>
      </c>
      <c r="C12" s="8" t="s">
        <v>40</v>
      </c>
      <c r="D12" s="11"/>
      <c r="E12" s="94">
        <v>65.5</v>
      </c>
      <c r="F12" s="11"/>
      <c r="G12" s="11"/>
      <c r="H12" s="11"/>
      <c r="I12" s="89" t="s">
        <v>56</v>
      </c>
      <c r="J12" s="9">
        <f t="shared" si="0"/>
        <v>65.5</v>
      </c>
      <c r="K12" s="9">
        <v>78</v>
      </c>
      <c r="L12" s="10">
        <f t="shared" si="1"/>
        <v>5109</v>
      </c>
    </row>
    <row r="13" spans="1:12" ht="21" x14ac:dyDescent="0.25">
      <c r="A13" s="109">
        <v>46043</v>
      </c>
      <c r="B13" s="111">
        <v>2065</v>
      </c>
      <c r="C13" s="8" t="s">
        <v>41</v>
      </c>
      <c r="D13" s="11"/>
      <c r="E13" s="94">
        <v>82.9</v>
      </c>
      <c r="F13" s="11"/>
      <c r="G13" s="11"/>
      <c r="H13" s="11"/>
      <c r="I13" s="89" t="s">
        <v>56</v>
      </c>
      <c r="J13" s="9">
        <f t="shared" si="0"/>
        <v>82.9</v>
      </c>
      <c r="K13" s="9">
        <v>78</v>
      </c>
      <c r="L13" s="10">
        <f t="shared" si="1"/>
        <v>6466.2000000000007</v>
      </c>
    </row>
    <row r="14" spans="1:12" ht="21" x14ac:dyDescent="0.25">
      <c r="A14" s="109">
        <v>46043</v>
      </c>
      <c r="B14" s="111"/>
      <c r="C14" s="8" t="s">
        <v>58</v>
      </c>
      <c r="D14" s="11"/>
      <c r="E14" s="94"/>
      <c r="F14" s="11"/>
      <c r="G14" s="11"/>
      <c r="H14" s="94">
        <v>26.4</v>
      </c>
      <c r="I14" s="89" t="s">
        <v>56</v>
      </c>
      <c r="J14" s="9">
        <f t="shared" si="0"/>
        <v>26.4</v>
      </c>
      <c r="K14" s="9">
        <v>78</v>
      </c>
      <c r="L14" s="10">
        <f t="shared" si="1"/>
        <v>2059.1999999999998</v>
      </c>
    </row>
    <row r="15" spans="1:12" ht="21" x14ac:dyDescent="0.25">
      <c r="A15" s="109">
        <v>46044</v>
      </c>
      <c r="B15" s="111">
        <v>33247</v>
      </c>
      <c r="C15" s="8" t="s">
        <v>42</v>
      </c>
      <c r="D15" s="11"/>
      <c r="E15" s="94">
        <v>55.8</v>
      </c>
      <c r="F15" s="11"/>
      <c r="G15" s="11"/>
      <c r="H15" s="11"/>
      <c r="I15" s="89" t="s">
        <v>56</v>
      </c>
      <c r="J15" s="9">
        <f t="shared" si="0"/>
        <v>55.8</v>
      </c>
      <c r="K15" s="9">
        <v>78</v>
      </c>
      <c r="L15" s="10">
        <f t="shared" si="1"/>
        <v>4352.3999999999996</v>
      </c>
    </row>
    <row r="16" spans="1:12" ht="21" x14ac:dyDescent="0.25">
      <c r="A16" s="109">
        <v>46044</v>
      </c>
      <c r="B16" s="111">
        <v>86402</v>
      </c>
      <c r="C16" s="8" t="s">
        <v>43</v>
      </c>
      <c r="D16" s="11"/>
      <c r="E16" s="94">
        <v>75.680000000000007</v>
      </c>
      <c r="F16" s="11"/>
      <c r="G16" s="11"/>
      <c r="H16" s="11"/>
      <c r="I16" s="89" t="s">
        <v>56</v>
      </c>
      <c r="J16" s="9">
        <f t="shared" si="0"/>
        <v>75.680000000000007</v>
      </c>
      <c r="K16" s="9">
        <v>78</v>
      </c>
      <c r="L16" s="10">
        <f t="shared" si="1"/>
        <v>5903.0400000000009</v>
      </c>
    </row>
    <row r="17" spans="1:12" ht="21" x14ac:dyDescent="0.25">
      <c r="A17" s="109">
        <v>46044</v>
      </c>
      <c r="B17" s="111"/>
      <c r="C17" s="8" t="s">
        <v>58</v>
      </c>
      <c r="D17" s="11"/>
      <c r="E17" s="94"/>
      <c r="F17" s="11"/>
      <c r="G17" s="11"/>
      <c r="H17" s="94">
        <v>37.369999999999997</v>
      </c>
      <c r="I17" s="89" t="s">
        <v>56</v>
      </c>
      <c r="J17" s="9">
        <f t="shared" si="0"/>
        <v>37.369999999999997</v>
      </c>
      <c r="K17" s="9">
        <v>78</v>
      </c>
      <c r="L17" s="10">
        <f t="shared" si="1"/>
        <v>2914.8599999999997</v>
      </c>
    </row>
    <row r="18" spans="1:12" ht="21" x14ac:dyDescent="0.25">
      <c r="A18" s="109">
        <v>46045</v>
      </c>
      <c r="B18" s="111">
        <v>132</v>
      </c>
      <c r="C18" s="8" t="s">
        <v>44</v>
      </c>
      <c r="D18" s="11"/>
      <c r="E18" s="94">
        <v>73.900000000000006</v>
      </c>
      <c r="F18" s="11"/>
      <c r="G18" s="11"/>
      <c r="H18" s="11"/>
      <c r="I18" s="89" t="s">
        <v>56</v>
      </c>
      <c r="J18" s="9">
        <f t="shared" si="0"/>
        <v>73.900000000000006</v>
      </c>
      <c r="K18" s="9">
        <v>78</v>
      </c>
      <c r="L18" s="10">
        <f t="shared" si="1"/>
        <v>5764.2000000000007</v>
      </c>
    </row>
    <row r="19" spans="1:12" ht="21" x14ac:dyDescent="0.25">
      <c r="A19" s="109">
        <v>46045</v>
      </c>
      <c r="B19" s="111">
        <v>6472</v>
      </c>
      <c r="C19" s="8" t="s">
        <v>45</v>
      </c>
      <c r="D19" s="11"/>
      <c r="E19" s="94">
        <v>106</v>
      </c>
      <c r="F19" s="11"/>
      <c r="G19" s="11"/>
      <c r="H19" s="11"/>
      <c r="I19" s="89" t="s">
        <v>56</v>
      </c>
      <c r="J19" s="9">
        <f t="shared" si="0"/>
        <v>106</v>
      </c>
      <c r="K19" s="9">
        <v>78</v>
      </c>
      <c r="L19" s="10">
        <f t="shared" si="1"/>
        <v>8268</v>
      </c>
    </row>
    <row r="20" spans="1:12" ht="21" x14ac:dyDescent="0.25">
      <c r="A20" s="109">
        <v>46045</v>
      </c>
      <c r="B20" s="111"/>
      <c r="C20" s="8" t="s">
        <v>58</v>
      </c>
      <c r="D20" s="11"/>
      <c r="E20" s="94"/>
      <c r="F20" s="11"/>
      <c r="G20" s="11"/>
      <c r="H20" s="94">
        <v>105.72</v>
      </c>
      <c r="I20" s="89" t="s">
        <v>56</v>
      </c>
      <c r="J20" s="9">
        <f t="shared" si="0"/>
        <v>105.72</v>
      </c>
      <c r="K20" s="9">
        <v>78</v>
      </c>
      <c r="L20" s="10">
        <f t="shared" si="1"/>
        <v>8246.16</v>
      </c>
    </row>
    <row r="21" spans="1:12" ht="21" x14ac:dyDescent="0.25">
      <c r="A21" s="109">
        <v>46046</v>
      </c>
      <c r="B21" s="111">
        <v>3304</v>
      </c>
      <c r="C21" s="8" t="s">
        <v>42</v>
      </c>
      <c r="D21" s="11"/>
      <c r="E21" s="94">
        <v>49.7</v>
      </c>
      <c r="F21" s="11"/>
      <c r="G21" s="11"/>
      <c r="H21" s="11"/>
      <c r="I21" s="89" t="s">
        <v>56</v>
      </c>
      <c r="J21" s="9">
        <f t="shared" si="0"/>
        <v>49.7</v>
      </c>
      <c r="K21" s="9">
        <v>78</v>
      </c>
      <c r="L21" s="10">
        <f t="shared" si="1"/>
        <v>3876.6000000000004</v>
      </c>
    </row>
    <row r="22" spans="1:12" ht="21" x14ac:dyDescent="0.25">
      <c r="A22" s="109">
        <v>46046</v>
      </c>
      <c r="B22" s="111">
        <v>64671</v>
      </c>
      <c r="C22" s="8" t="s">
        <v>46</v>
      </c>
      <c r="D22" s="11"/>
      <c r="E22" s="94">
        <v>170.5</v>
      </c>
      <c r="F22" s="11"/>
      <c r="G22" s="11"/>
      <c r="H22" s="11"/>
      <c r="I22" s="89" t="s">
        <v>56</v>
      </c>
      <c r="J22" s="9">
        <f t="shared" si="0"/>
        <v>170.5</v>
      </c>
      <c r="K22" s="9">
        <v>78</v>
      </c>
      <c r="L22" s="10">
        <f t="shared" si="1"/>
        <v>13299</v>
      </c>
    </row>
    <row r="23" spans="1:12" ht="21" x14ac:dyDescent="0.25">
      <c r="A23" s="109">
        <v>46046</v>
      </c>
      <c r="B23" s="111"/>
      <c r="C23" s="8" t="s">
        <v>58</v>
      </c>
      <c r="D23" s="11"/>
      <c r="E23" s="94"/>
      <c r="F23" s="11"/>
      <c r="G23" s="11"/>
      <c r="H23" s="94">
        <v>85.740000000000009</v>
      </c>
      <c r="I23" s="89" t="s">
        <v>56</v>
      </c>
      <c r="J23" s="9">
        <f t="shared" si="0"/>
        <v>85.740000000000009</v>
      </c>
      <c r="K23" s="9">
        <v>78</v>
      </c>
      <c r="L23" s="10">
        <f t="shared" si="1"/>
        <v>6687.7200000000012</v>
      </c>
    </row>
    <row r="24" spans="1:12" ht="21" x14ac:dyDescent="0.25">
      <c r="A24" s="109">
        <v>46047</v>
      </c>
      <c r="B24" s="111">
        <v>84183</v>
      </c>
      <c r="C24" s="8" t="s">
        <v>47</v>
      </c>
      <c r="D24" s="11"/>
      <c r="E24" s="94">
        <v>97.57</v>
      </c>
      <c r="F24" s="11"/>
      <c r="G24" s="11"/>
      <c r="H24" s="11"/>
      <c r="I24" s="89" t="s">
        <v>56</v>
      </c>
      <c r="J24" s="9">
        <f t="shared" si="0"/>
        <v>97.57</v>
      </c>
      <c r="K24" s="9">
        <v>78</v>
      </c>
      <c r="L24" s="10">
        <f t="shared" si="1"/>
        <v>7610.4599999999991</v>
      </c>
    </row>
    <row r="25" spans="1:12" ht="21" x14ac:dyDescent="0.25">
      <c r="A25" s="109">
        <v>46047</v>
      </c>
      <c r="B25" s="111">
        <v>4319</v>
      </c>
      <c r="C25" s="8" t="s">
        <v>48</v>
      </c>
      <c r="D25" s="11"/>
      <c r="E25" s="94">
        <v>257</v>
      </c>
      <c r="F25" s="11"/>
      <c r="G25" s="11"/>
      <c r="H25" s="11"/>
      <c r="I25" s="89" t="s">
        <v>56</v>
      </c>
      <c r="J25" s="9">
        <f t="shared" si="0"/>
        <v>257</v>
      </c>
      <c r="K25" s="9">
        <v>78</v>
      </c>
      <c r="L25" s="10">
        <f t="shared" si="1"/>
        <v>20046</v>
      </c>
    </row>
    <row r="26" spans="1:12" ht="21" x14ac:dyDescent="0.25">
      <c r="A26" s="109">
        <v>46047</v>
      </c>
      <c r="B26" s="111"/>
      <c r="C26" s="8" t="s">
        <v>58</v>
      </c>
      <c r="D26" s="11"/>
      <c r="E26" s="94"/>
      <c r="F26" s="11"/>
      <c r="G26" s="11"/>
      <c r="H26" s="94">
        <v>28.419999999999998</v>
      </c>
      <c r="I26" s="89" t="s">
        <v>56</v>
      </c>
      <c r="J26" s="9">
        <f t="shared" si="0"/>
        <v>28.419999999999998</v>
      </c>
      <c r="K26" s="9">
        <v>78</v>
      </c>
      <c r="L26" s="10">
        <f t="shared" si="1"/>
        <v>2216.7599999999998</v>
      </c>
    </row>
    <row r="27" spans="1:12" ht="21" x14ac:dyDescent="0.25">
      <c r="A27" s="109">
        <v>46048</v>
      </c>
      <c r="B27" s="111">
        <v>3247</v>
      </c>
      <c r="C27" s="8" t="s">
        <v>49</v>
      </c>
      <c r="D27" s="11"/>
      <c r="E27" s="94">
        <v>77.3</v>
      </c>
      <c r="F27" s="11"/>
      <c r="G27" s="11"/>
      <c r="H27" s="11"/>
      <c r="I27" s="89" t="s">
        <v>56</v>
      </c>
      <c r="J27" s="9">
        <f t="shared" si="0"/>
        <v>77.3</v>
      </c>
      <c r="K27" s="9">
        <v>78</v>
      </c>
      <c r="L27" s="10">
        <f t="shared" si="1"/>
        <v>6029.4</v>
      </c>
    </row>
    <row r="28" spans="1:12" ht="21" x14ac:dyDescent="0.25">
      <c r="A28" s="109">
        <v>46048</v>
      </c>
      <c r="B28" s="111">
        <v>87754</v>
      </c>
      <c r="C28" s="8" t="s">
        <v>43</v>
      </c>
      <c r="D28" s="11"/>
      <c r="E28" s="94">
        <v>94.16</v>
      </c>
      <c r="F28" s="11"/>
      <c r="G28" s="11"/>
      <c r="H28" s="11"/>
      <c r="I28" s="89" t="s">
        <v>56</v>
      </c>
      <c r="J28" s="9">
        <f t="shared" si="0"/>
        <v>94.16</v>
      </c>
      <c r="K28" s="9">
        <v>78</v>
      </c>
      <c r="L28" s="10">
        <f t="shared" si="1"/>
        <v>7344.48</v>
      </c>
    </row>
    <row r="29" spans="1:12" ht="21" x14ac:dyDescent="0.25">
      <c r="A29" s="109">
        <v>46048</v>
      </c>
      <c r="B29" s="111"/>
      <c r="C29" s="8" t="s">
        <v>58</v>
      </c>
      <c r="D29" s="11"/>
      <c r="E29" s="94"/>
      <c r="F29" s="11"/>
      <c r="G29" s="11"/>
      <c r="H29" s="94">
        <v>29.31</v>
      </c>
      <c r="I29" s="89" t="s">
        <v>56</v>
      </c>
      <c r="J29" s="9">
        <f t="shared" si="0"/>
        <v>29.31</v>
      </c>
      <c r="K29" s="9">
        <v>78</v>
      </c>
      <c r="L29" s="10">
        <f t="shared" si="1"/>
        <v>2286.1799999999998</v>
      </c>
    </row>
    <row r="30" spans="1:12" ht="21" x14ac:dyDescent="0.25">
      <c r="A30" s="109">
        <v>46049</v>
      </c>
      <c r="B30" s="111">
        <v>33407</v>
      </c>
      <c r="C30" s="8" t="s">
        <v>42</v>
      </c>
      <c r="D30" s="11"/>
      <c r="E30" s="94">
        <v>65.900000000000006</v>
      </c>
      <c r="F30" s="11"/>
      <c r="G30" s="11"/>
      <c r="H30" s="11"/>
      <c r="I30" s="89" t="s">
        <v>56</v>
      </c>
      <c r="J30" s="9">
        <f t="shared" si="0"/>
        <v>65.900000000000006</v>
      </c>
      <c r="K30" s="9">
        <v>78</v>
      </c>
      <c r="L30" s="10">
        <f t="shared" si="1"/>
        <v>5140.2000000000007</v>
      </c>
    </row>
    <row r="31" spans="1:12" ht="21" x14ac:dyDescent="0.25">
      <c r="A31" s="109">
        <v>46049</v>
      </c>
      <c r="B31" s="111">
        <v>2631</v>
      </c>
      <c r="C31" s="8" t="s">
        <v>50</v>
      </c>
      <c r="D31" s="11"/>
      <c r="E31" s="94">
        <v>159.6</v>
      </c>
      <c r="F31" s="11"/>
      <c r="G31" s="11"/>
      <c r="H31" s="11"/>
      <c r="I31" s="89" t="s">
        <v>56</v>
      </c>
      <c r="J31" s="9">
        <f t="shared" si="0"/>
        <v>159.6</v>
      </c>
      <c r="K31" s="9">
        <v>78</v>
      </c>
      <c r="L31" s="10">
        <f t="shared" si="1"/>
        <v>12448.8</v>
      </c>
    </row>
    <row r="32" spans="1:12" ht="21" x14ac:dyDescent="0.25">
      <c r="A32" s="109">
        <v>46049</v>
      </c>
      <c r="B32" s="111"/>
      <c r="C32" s="8" t="s">
        <v>58</v>
      </c>
      <c r="D32" s="11"/>
      <c r="E32" s="94"/>
      <c r="F32" s="11"/>
      <c r="G32" s="11"/>
      <c r="H32" s="94">
        <v>34.4</v>
      </c>
      <c r="I32" s="89" t="s">
        <v>56</v>
      </c>
      <c r="J32" s="9">
        <f t="shared" si="0"/>
        <v>34.4</v>
      </c>
      <c r="K32" s="9">
        <v>78</v>
      </c>
      <c r="L32" s="10">
        <f t="shared" si="1"/>
        <v>2683.2</v>
      </c>
    </row>
    <row r="33" spans="1:12" ht="21" x14ac:dyDescent="0.25">
      <c r="A33" s="109">
        <v>46050</v>
      </c>
      <c r="B33" s="111">
        <v>5274</v>
      </c>
      <c r="C33" s="8" t="s">
        <v>51</v>
      </c>
      <c r="D33" s="11"/>
      <c r="E33" s="94">
        <v>75.900000000000006</v>
      </c>
      <c r="F33" s="11"/>
      <c r="G33" s="11"/>
      <c r="H33" s="11"/>
      <c r="I33" s="89" t="s">
        <v>56</v>
      </c>
      <c r="J33" s="9">
        <f t="shared" si="0"/>
        <v>75.900000000000006</v>
      </c>
      <c r="K33" s="9">
        <v>78</v>
      </c>
      <c r="L33" s="10">
        <f t="shared" si="1"/>
        <v>5920.2000000000007</v>
      </c>
    </row>
    <row r="34" spans="1:12" ht="21" x14ac:dyDescent="0.25">
      <c r="A34" s="109">
        <v>46050</v>
      </c>
      <c r="B34" s="111">
        <v>63478</v>
      </c>
      <c r="C34" s="8" t="s">
        <v>52</v>
      </c>
      <c r="D34" s="11"/>
      <c r="E34" s="94">
        <v>74.599999999999994</v>
      </c>
      <c r="F34" s="11"/>
      <c r="G34" s="11"/>
      <c r="H34" s="11"/>
      <c r="I34" s="89" t="s">
        <v>56</v>
      </c>
      <c r="J34" s="9">
        <f t="shared" si="0"/>
        <v>74.599999999999994</v>
      </c>
      <c r="K34" s="9">
        <v>78</v>
      </c>
      <c r="L34" s="10">
        <f t="shared" si="1"/>
        <v>5818.7999999999993</v>
      </c>
    </row>
    <row r="35" spans="1:12" ht="21" x14ac:dyDescent="0.25">
      <c r="A35" s="109">
        <v>46050</v>
      </c>
      <c r="B35" s="111"/>
      <c r="C35" s="8" t="s">
        <v>58</v>
      </c>
      <c r="D35" s="11"/>
      <c r="E35" s="94"/>
      <c r="F35" s="11"/>
      <c r="G35" s="11"/>
      <c r="H35" s="94">
        <v>22.29</v>
      </c>
      <c r="I35" s="89" t="s">
        <v>56</v>
      </c>
      <c r="J35" s="9">
        <f t="shared" si="0"/>
        <v>22.29</v>
      </c>
      <c r="K35" s="9">
        <v>78</v>
      </c>
      <c r="L35" s="10">
        <f t="shared" si="1"/>
        <v>1738.62</v>
      </c>
    </row>
    <row r="36" spans="1:12" ht="21" x14ac:dyDescent="0.25">
      <c r="A36" s="109">
        <v>46051</v>
      </c>
      <c r="B36" s="111">
        <v>3827</v>
      </c>
      <c r="C36" s="8" t="s">
        <v>40</v>
      </c>
      <c r="D36" s="11"/>
      <c r="E36" s="94">
        <v>58</v>
      </c>
      <c r="F36" s="11"/>
      <c r="G36" s="11"/>
      <c r="H36" s="11"/>
      <c r="I36" s="89" t="s">
        <v>56</v>
      </c>
      <c r="J36" s="9">
        <f t="shared" si="0"/>
        <v>58</v>
      </c>
      <c r="K36" s="9">
        <v>78</v>
      </c>
      <c r="L36" s="10">
        <f t="shared" si="1"/>
        <v>4524</v>
      </c>
    </row>
    <row r="37" spans="1:12" ht="21" x14ac:dyDescent="0.25">
      <c r="A37" s="109">
        <v>46051</v>
      </c>
      <c r="B37" s="111">
        <v>105</v>
      </c>
      <c r="C37" s="8" t="s">
        <v>53</v>
      </c>
      <c r="D37" s="11"/>
      <c r="E37" s="94">
        <v>328</v>
      </c>
      <c r="F37" s="11"/>
      <c r="G37" s="11"/>
      <c r="H37" s="11"/>
      <c r="I37" s="89" t="s">
        <v>56</v>
      </c>
      <c r="J37" s="9">
        <f t="shared" si="0"/>
        <v>328</v>
      </c>
      <c r="K37" s="9">
        <v>78</v>
      </c>
      <c r="L37" s="10">
        <f t="shared" si="1"/>
        <v>25584</v>
      </c>
    </row>
    <row r="38" spans="1:12" ht="21" x14ac:dyDescent="0.25">
      <c r="A38" s="109">
        <v>46051</v>
      </c>
      <c r="B38" s="111"/>
      <c r="C38" s="8" t="s">
        <v>58</v>
      </c>
      <c r="D38" s="11"/>
      <c r="E38" s="94"/>
      <c r="F38" s="11"/>
      <c r="G38" s="11"/>
      <c r="H38" s="94">
        <v>32.380000000000003</v>
      </c>
      <c r="I38" s="89" t="s">
        <v>56</v>
      </c>
      <c r="J38" s="9">
        <f t="shared" si="0"/>
        <v>32.380000000000003</v>
      </c>
      <c r="K38" s="9">
        <v>78</v>
      </c>
      <c r="L38" s="10">
        <f t="shared" si="1"/>
        <v>2525.6400000000003</v>
      </c>
    </row>
    <row r="39" spans="1:12" ht="21" x14ac:dyDescent="0.25">
      <c r="A39" s="109">
        <v>46052</v>
      </c>
      <c r="B39" s="111">
        <v>33442</v>
      </c>
      <c r="C39" s="8" t="s">
        <v>51</v>
      </c>
      <c r="D39" s="11"/>
      <c r="E39" s="94">
        <v>71.5</v>
      </c>
      <c r="F39" s="11"/>
      <c r="G39" s="11"/>
      <c r="H39" s="11"/>
      <c r="I39" s="89" t="s">
        <v>56</v>
      </c>
      <c r="J39" s="9">
        <f t="shared" si="0"/>
        <v>71.5</v>
      </c>
      <c r="K39" s="9">
        <v>78</v>
      </c>
      <c r="L39" s="10">
        <f t="shared" si="1"/>
        <v>5577</v>
      </c>
    </row>
    <row r="40" spans="1:12" ht="21" x14ac:dyDescent="0.25">
      <c r="A40" s="109">
        <v>46052</v>
      </c>
      <c r="B40" s="111"/>
      <c r="C40" s="8" t="s">
        <v>54</v>
      </c>
      <c r="D40" s="11"/>
      <c r="E40" s="94">
        <v>73.5</v>
      </c>
      <c r="F40" s="11"/>
      <c r="G40" s="11"/>
      <c r="H40" s="11"/>
      <c r="I40" s="89" t="s">
        <v>56</v>
      </c>
      <c r="J40" s="9">
        <f t="shared" si="0"/>
        <v>73.5</v>
      </c>
      <c r="K40" s="9">
        <v>78</v>
      </c>
      <c r="L40" s="10">
        <f t="shared" si="1"/>
        <v>5733</v>
      </c>
    </row>
    <row r="41" spans="1:12" ht="21" x14ac:dyDescent="0.25">
      <c r="A41" s="109">
        <v>46052</v>
      </c>
      <c r="B41" s="111"/>
      <c r="C41" s="8" t="s">
        <v>58</v>
      </c>
      <c r="D41" s="11"/>
      <c r="E41" s="94"/>
      <c r="F41" s="11"/>
      <c r="G41" s="11"/>
      <c r="H41" s="94">
        <v>8.27</v>
      </c>
      <c r="I41" s="89" t="s">
        <v>56</v>
      </c>
      <c r="J41" s="9">
        <f t="shared" si="0"/>
        <v>8.27</v>
      </c>
      <c r="K41" s="9">
        <v>78</v>
      </c>
      <c r="L41" s="10">
        <f t="shared" si="1"/>
        <v>645.05999999999995</v>
      </c>
    </row>
    <row r="42" spans="1:12" ht="21" x14ac:dyDescent="0.25">
      <c r="A42" s="109">
        <v>46053</v>
      </c>
      <c r="B42" s="111" t="s">
        <v>67</v>
      </c>
      <c r="C42" s="8" t="s">
        <v>59</v>
      </c>
      <c r="D42" s="11"/>
      <c r="E42" s="94"/>
      <c r="F42" s="11"/>
      <c r="G42" s="11"/>
      <c r="H42" s="94">
        <v>60</v>
      </c>
      <c r="I42" s="89" t="s">
        <v>56</v>
      </c>
      <c r="J42" s="9">
        <f t="shared" si="0"/>
        <v>60</v>
      </c>
      <c r="K42" s="9">
        <v>78</v>
      </c>
      <c r="L42" s="10">
        <f t="shared" si="1"/>
        <v>4680</v>
      </c>
    </row>
    <row r="43" spans="1:12" ht="21" x14ac:dyDescent="0.25">
      <c r="A43" s="109">
        <v>46053</v>
      </c>
      <c r="B43" s="111">
        <v>734</v>
      </c>
      <c r="C43" s="8" t="s">
        <v>38</v>
      </c>
      <c r="D43" s="11"/>
      <c r="E43" s="94">
        <v>20</v>
      </c>
      <c r="F43" s="11"/>
      <c r="G43" s="11"/>
      <c r="H43" s="11"/>
      <c r="I43" s="89" t="s">
        <v>56</v>
      </c>
      <c r="J43" s="9">
        <f t="shared" si="0"/>
        <v>20</v>
      </c>
      <c r="K43" s="9">
        <v>78</v>
      </c>
      <c r="L43" s="10">
        <f t="shared" si="1"/>
        <v>1560</v>
      </c>
    </row>
    <row r="44" spans="1:12" ht="21" x14ac:dyDescent="0.25">
      <c r="A44" s="109"/>
      <c r="B44" s="111"/>
      <c r="C44" s="8"/>
      <c r="D44" s="11"/>
      <c r="E44" s="11"/>
      <c r="F44" s="11"/>
      <c r="G44" s="11"/>
      <c r="H44" s="11"/>
      <c r="I44" s="89"/>
      <c r="J44" s="9"/>
      <c r="K44" s="9"/>
      <c r="L44" s="10"/>
    </row>
    <row r="45" spans="1:12" ht="22" thickBot="1" x14ac:dyDescent="0.3">
      <c r="A45" s="110"/>
      <c r="B45" s="112"/>
      <c r="C45" s="12"/>
      <c r="D45" s="13"/>
      <c r="E45" s="13"/>
      <c r="F45" s="13"/>
      <c r="G45" s="13"/>
      <c r="H45" s="13"/>
      <c r="I45" s="89"/>
      <c r="J45" s="9"/>
      <c r="K45" s="9"/>
      <c r="L45" s="10"/>
    </row>
    <row r="46" spans="1:12" ht="45" thickBot="1" x14ac:dyDescent="0.3">
      <c r="A46" s="37" t="s">
        <v>22</v>
      </c>
      <c r="B46" s="42"/>
      <c r="C46" s="64"/>
      <c r="D46" s="64"/>
      <c r="E46" s="64"/>
      <c r="F46" s="64"/>
      <c r="G46" s="64"/>
      <c r="H46" s="43"/>
      <c r="I46" s="90" t="s">
        <v>23</v>
      </c>
      <c r="J46" s="14">
        <f>SUM(J10:J15)</f>
        <v>2292.9300000000003</v>
      </c>
      <c r="K46" s="15" t="s">
        <v>19</v>
      </c>
      <c r="L46" s="16">
        <f>SUM(L10:L45)</f>
        <v>335386.71750000003</v>
      </c>
    </row>
    <row r="47" spans="1:12" ht="22" thickBot="1" x14ac:dyDescent="0.3">
      <c r="A47" s="38"/>
      <c r="B47" s="42"/>
      <c r="C47" s="64"/>
      <c r="D47" s="64"/>
      <c r="E47" s="64"/>
      <c r="F47" s="64"/>
      <c r="G47" s="64"/>
      <c r="H47" s="43"/>
      <c r="I47" s="66" t="s">
        <v>24</v>
      </c>
      <c r="J47" s="67"/>
      <c r="K47" s="68"/>
      <c r="L47" s="17">
        <v>503449.2</v>
      </c>
    </row>
    <row r="48" spans="1:12" ht="27" customHeight="1" thickBot="1" x14ac:dyDescent="0.3">
      <c r="A48" s="39"/>
      <c r="B48" s="44"/>
      <c r="C48" s="65"/>
      <c r="D48" s="65"/>
      <c r="E48" s="65"/>
      <c r="F48" s="65"/>
      <c r="G48" s="65"/>
      <c r="H48" s="45"/>
      <c r="I48" s="66" t="s">
        <v>25</v>
      </c>
      <c r="J48" s="67"/>
      <c r="K48" s="68"/>
      <c r="L48" s="18">
        <f>+(L47-L46)-(L47*20%)</f>
        <v>67372.642499999973</v>
      </c>
    </row>
    <row r="49" spans="1:13" ht="22" thickBot="1" x14ac:dyDescent="0.3">
      <c r="A49" s="19" t="s">
        <v>26</v>
      </c>
      <c r="B49" s="29">
        <v>46059</v>
      </c>
      <c r="C49" s="30"/>
      <c r="D49" s="31" t="s">
        <v>27</v>
      </c>
      <c r="E49" s="32"/>
      <c r="F49" s="32"/>
      <c r="G49" s="33"/>
      <c r="H49" s="34" t="s">
        <v>28</v>
      </c>
      <c r="I49" s="35"/>
      <c r="J49" s="35"/>
      <c r="K49" s="35"/>
      <c r="L49" s="36"/>
    </row>
    <row r="50" spans="1:13" ht="27.75" customHeight="1" thickBot="1" x14ac:dyDescent="0.35">
      <c r="A50" s="37" t="s">
        <v>29</v>
      </c>
      <c r="B50" s="40"/>
      <c r="C50" s="41"/>
      <c r="D50" s="20" t="s">
        <v>30</v>
      </c>
      <c r="E50" s="46"/>
      <c r="F50" s="47"/>
      <c r="G50" s="48"/>
      <c r="H50" s="49" t="s">
        <v>31</v>
      </c>
      <c r="I50" s="50"/>
      <c r="J50" s="50"/>
      <c r="K50" s="50"/>
      <c r="L50" s="51"/>
    </row>
    <row r="51" spans="1:13" ht="22" thickBot="1" x14ac:dyDescent="0.3">
      <c r="A51" s="38"/>
      <c r="B51" s="42"/>
      <c r="C51" s="43"/>
      <c r="D51" s="52" t="s">
        <v>32</v>
      </c>
      <c r="E51" s="55"/>
      <c r="F51" s="56"/>
      <c r="G51" s="57"/>
      <c r="H51" s="1" t="s">
        <v>30</v>
      </c>
      <c r="I51" s="46"/>
      <c r="J51" s="47"/>
      <c r="K51" s="47"/>
      <c r="L51" s="48"/>
    </row>
    <row r="52" spans="1:13" ht="27" customHeight="1" x14ac:dyDescent="0.2">
      <c r="A52" s="38"/>
      <c r="B52" s="42"/>
      <c r="C52" s="43"/>
      <c r="D52" s="53"/>
      <c r="E52" s="58"/>
      <c r="F52" s="59"/>
      <c r="G52" s="60"/>
      <c r="H52" s="52" t="s">
        <v>32</v>
      </c>
      <c r="I52" s="55"/>
      <c r="J52" s="56"/>
      <c r="K52" s="56"/>
      <c r="L52" s="57"/>
    </row>
    <row r="53" spans="1:13" ht="6" customHeight="1" thickBot="1" x14ac:dyDescent="0.25">
      <c r="A53" s="39"/>
      <c r="B53" s="44"/>
      <c r="C53" s="45"/>
      <c r="D53" s="54"/>
      <c r="E53" s="61"/>
      <c r="F53" s="62"/>
      <c r="G53" s="63"/>
      <c r="H53" s="54"/>
      <c r="I53" s="61"/>
      <c r="J53" s="62"/>
      <c r="K53" s="62"/>
      <c r="L53" s="63"/>
    </row>
    <row r="54" spans="1:13" ht="33" customHeight="1" thickBot="1" x14ac:dyDescent="0.25">
      <c r="A54" s="25" t="s">
        <v>33</v>
      </c>
      <c r="B54" s="26"/>
      <c r="C54" s="26"/>
      <c r="D54" s="26"/>
      <c r="E54" s="26"/>
      <c r="F54" s="26"/>
      <c r="G54" s="26"/>
      <c r="H54" s="26"/>
      <c r="I54" s="91"/>
      <c r="J54" s="26"/>
      <c r="K54" s="26"/>
      <c r="L54" s="27"/>
      <c r="M54" s="28"/>
    </row>
    <row r="55" spans="1:13" ht="21" x14ac:dyDescent="0.25">
      <c r="A55" s="21"/>
      <c r="B55" s="21"/>
      <c r="C55" s="21"/>
      <c r="D55" s="21"/>
      <c r="E55" s="21"/>
      <c r="F55" s="21"/>
      <c r="G55" s="21"/>
      <c r="H55" s="21"/>
      <c r="I55" s="92"/>
      <c r="J55" s="21"/>
      <c r="K55" s="21"/>
      <c r="L55" s="21"/>
    </row>
    <row r="56" spans="1:13" ht="21" x14ac:dyDescent="0.25">
      <c r="A56" s="21"/>
      <c r="B56" s="21"/>
      <c r="C56" s="21"/>
      <c r="D56" s="21"/>
      <c r="E56" s="21"/>
      <c r="F56" s="21"/>
      <c r="G56" s="21"/>
      <c r="H56" s="21"/>
      <c r="I56" s="92"/>
      <c r="J56" s="21"/>
      <c r="K56" s="21"/>
      <c r="L56" s="21"/>
    </row>
  </sheetData>
  <mergeCells count="27">
    <mergeCell ref="A46:A48"/>
    <mergeCell ref="B46:H48"/>
    <mergeCell ref="I47:K47"/>
    <mergeCell ref="I48:K48"/>
    <mergeCell ref="A1:L1"/>
    <mergeCell ref="B2:L2"/>
    <mergeCell ref="B3:L3"/>
    <mergeCell ref="B4:L4"/>
    <mergeCell ref="B5:L5"/>
    <mergeCell ref="B6:F6"/>
    <mergeCell ref="B7:L7"/>
    <mergeCell ref="A8:A9"/>
    <mergeCell ref="B8:B9"/>
    <mergeCell ref="C8:C9"/>
    <mergeCell ref="D8:L8"/>
    <mergeCell ref="B49:C49"/>
    <mergeCell ref="D49:G49"/>
    <mergeCell ref="H49:L49"/>
    <mergeCell ref="A50:A53"/>
    <mergeCell ref="B50:C53"/>
    <mergeCell ref="E50:G50"/>
    <mergeCell ref="H50:L50"/>
    <mergeCell ref="D51:D53"/>
    <mergeCell ref="E51:G53"/>
    <mergeCell ref="I51:L51"/>
    <mergeCell ref="H52:H53"/>
    <mergeCell ref="I52:L53"/>
  </mergeCells>
  <pageMargins left="0.70866141732283472" right="0.70866141732283472" top="0.74803149606299213" bottom="0.74803149606299213" header="0.31496062992125984" footer="0.31496062992125984"/>
  <pageSetup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3"/>
  <sheetViews>
    <sheetView tabSelected="1" zoomScaleNormal="100" workbookViewId="0">
      <selection activeCell="B21" sqref="B21"/>
    </sheetView>
  </sheetViews>
  <sheetFormatPr baseColWidth="10" defaultColWidth="11.5" defaultRowHeight="15" x14ac:dyDescent="0.2"/>
  <cols>
    <col min="1" max="3" width="31.6640625" customWidth="1"/>
    <col min="4" max="5" width="28.33203125" customWidth="1"/>
    <col min="6" max="6" width="25.6640625" customWidth="1"/>
    <col min="7" max="7" width="27.83203125" customWidth="1"/>
    <col min="8" max="8" width="22.6640625" customWidth="1"/>
    <col min="9" max="10" width="28.33203125" customWidth="1"/>
    <col min="11" max="11" width="25.6640625" customWidth="1"/>
    <col min="12" max="12" width="27.83203125" customWidth="1"/>
  </cols>
  <sheetData>
    <row r="1" spans="1:12" ht="38" thickBot="1" x14ac:dyDescent="0.5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1"/>
    </row>
    <row r="2" spans="1:12" ht="24.75" customHeight="1" thickBot="1" x14ac:dyDescent="0.3">
      <c r="A2" s="1" t="s">
        <v>1</v>
      </c>
      <c r="B2" s="95" t="s">
        <v>2</v>
      </c>
      <c r="C2" s="96"/>
      <c r="D2" s="96"/>
      <c r="E2" s="96"/>
      <c r="F2" s="96"/>
      <c r="G2" s="96"/>
      <c r="H2" s="96"/>
      <c r="I2" s="96"/>
      <c r="J2" s="97"/>
      <c r="K2" s="97"/>
      <c r="L2" s="98"/>
    </row>
    <row r="3" spans="1:12" ht="22" thickBot="1" x14ac:dyDescent="0.3">
      <c r="A3" s="1" t="s">
        <v>3</v>
      </c>
      <c r="B3" s="95"/>
      <c r="C3" s="96"/>
      <c r="D3" s="96"/>
      <c r="E3" s="96"/>
      <c r="F3" s="96"/>
      <c r="G3" s="96"/>
      <c r="H3" s="96"/>
      <c r="I3" s="96"/>
      <c r="J3" s="97"/>
      <c r="K3" s="97"/>
      <c r="L3" s="98"/>
    </row>
    <row r="4" spans="1:12" ht="22" thickBot="1" x14ac:dyDescent="0.3">
      <c r="A4" s="1" t="s">
        <v>4</v>
      </c>
      <c r="B4" s="95" t="str">
        <f>+Hoja1!B4</f>
        <v>Claudio Miguel Peguero Castillo</v>
      </c>
      <c r="C4" s="96"/>
      <c r="D4" s="96"/>
      <c r="E4" s="96"/>
      <c r="F4" s="96"/>
      <c r="G4" s="96"/>
      <c r="H4" s="96"/>
      <c r="I4" s="96"/>
      <c r="J4" s="97"/>
      <c r="K4" s="97"/>
      <c r="L4" s="98"/>
    </row>
    <row r="5" spans="1:12" ht="22" thickBot="1" x14ac:dyDescent="0.3">
      <c r="A5" s="1" t="s">
        <v>5</v>
      </c>
      <c r="B5" s="114" t="str">
        <f>+Hoja1!B5</f>
        <v>001-123065-5</v>
      </c>
      <c r="C5" s="115"/>
      <c r="D5" s="115"/>
      <c r="E5" s="115"/>
      <c r="F5" s="115"/>
      <c r="G5" s="115"/>
      <c r="H5" s="115"/>
      <c r="I5" s="115"/>
      <c r="J5" s="115"/>
      <c r="K5" s="115"/>
      <c r="L5" s="116"/>
    </row>
    <row r="6" spans="1:12" ht="23" thickBot="1" x14ac:dyDescent="0.3">
      <c r="A6" s="1" t="s">
        <v>6</v>
      </c>
      <c r="B6" s="121" t="str">
        <f>+Hoja1!B6</f>
        <v>Viena, Austria</v>
      </c>
      <c r="C6" s="122"/>
      <c r="D6" s="122"/>
      <c r="E6" s="122"/>
      <c r="F6" s="123"/>
      <c r="G6" s="2" t="s">
        <v>57</v>
      </c>
      <c r="H6" s="3">
        <f>+Hoja1!H6</f>
        <v>46041</v>
      </c>
      <c r="I6" s="2" t="s">
        <v>7</v>
      </c>
      <c r="J6" s="2"/>
      <c r="K6" s="2"/>
      <c r="L6" s="3">
        <f>+Hoja1!L6</f>
        <v>46053</v>
      </c>
    </row>
    <row r="7" spans="1:12" ht="22" thickBot="1" x14ac:dyDescent="0.25">
      <c r="A7" s="22" t="s">
        <v>8</v>
      </c>
      <c r="B7" s="117" t="str">
        <f>+Hoja1!B7</f>
        <v>Sesión Comité Ad-Hoc Ciberdelitos ONU</v>
      </c>
      <c r="C7" s="118"/>
      <c r="D7" s="118"/>
      <c r="E7" s="118"/>
      <c r="F7" s="118"/>
      <c r="G7" s="118"/>
      <c r="H7" s="118"/>
      <c r="I7" s="118"/>
      <c r="J7" s="119"/>
      <c r="K7" s="119"/>
      <c r="L7" s="120"/>
    </row>
    <row r="8" spans="1:12" ht="22" thickBot="1" x14ac:dyDescent="0.3">
      <c r="D8" s="66" t="s">
        <v>24</v>
      </c>
      <c r="E8" s="67"/>
      <c r="F8" s="68"/>
      <c r="G8" s="17">
        <f>+Hoja1!L47</f>
        <v>503449.2</v>
      </c>
    </row>
    <row r="9" spans="1:12" ht="22" thickBot="1" x14ac:dyDescent="0.3">
      <c r="D9" s="66" t="s">
        <v>34</v>
      </c>
      <c r="E9" s="67"/>
      <c r="F9" s="68"/>
      <c r="G9" s="18">
        <f>+G8*20%</f>
        <v>100689.84000000001</v>
      </c>
    </row>
    <row r="10" spans="1:12" ht="22" thickBot="1" x14ac:dyDescent="0.3">
      <c r="D10" s="66" t="s">
        <v>35</v>
      </c>
      <c r="E10" s="67"/>
      <c r="F10" s="68"/>
      <c r="G10" s="18">
        <f>+G11+G9</f>
        <v>436076.55750000005</v>
      </c>
    </row>
    <row r="11" spans="1:12" ht="22" thickBot="1" x14ac:dyDescent="0.3">
      <c r="D11" s="66" t="s">
        <v>36</v>
      </c>
      <c r="E11" s="67"/>
      <c r="F11" s="68"/>
      <c r="G11" s="18">
        <f>+Hoja1!L46</f>
        <v>335386.71750000003</v>
      </c>
    </row>
    <row r="12" spans="1:12" ht="22" thickBot="1" x14ac:dyDescent="0.3">
      <c r="D12" s="87" t="s">
        <v>37</v>
      </c>
      <c r="E12" s="88"/>
      <c r="F12" s="68"/>
      <c r="G12" s="18">
        <f>+Hoja1!L48</f>
        <v>67372.642499999973</v>
      </c>
    </row>
    <row r="13" spans="1:12" ht="22" thickBot="1" x14ac:dyDescent="0.3">
      <c r="D13" s="84"/>
      <c r="E13" s="85"/>
      <c r="F13" s="85"/>
      <c r="G13" s="86"/>
    </row>
  </sheetData>
  <mergeCells count="13">
    <mergeCell ref="B6:F6"/>
    <mergeCell ref="A1:L1"/>
    <mergeCell ref="B2:L2"/>
    <mergeCell ref="B3:L3"/>
    <mergeCell ref="B4:L4"/>
    <mergeCell ref="B5:L5"/>
    <mergeCell ref="D13:G13"/>
    <mergeCell ref="B7:L7"/>
    <mergeCell ref="D8:F8"/>
    <mergeCell ref="D9:F9"/>
    <mergeCell ref="D10:F10"/>
    <mergeCell ref="D11:F11"/>
    <mergeCell ref="D12:F12"/>
  </mergeCells>
  <pageMargins left="0.7" right="0.7" top="0.75" bottom="0.75" header="0.3" footer="0.3"/>
  <pageSetup scale="3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A9D968CF19F3428091E53B2346CCDC" ma:contentTypeVersion="13" ma:contentTypeDescription="Crear nuevo documento." ma:contentTypeScope="" ma:versionID="7e18450f7383994576bba9a8744e2569">
  <xsd:schema xmlns:xsd="http://www.w3.org/2001/XMLSchema" xmlns:xs="http://www.w3.org/2001/XMLSchema" xmlns:p="http://schemas.microsoft.com/office/2006/metadata/properties" xmlns:ns2="9d4d2799-159b-44ed-ac49-d52eddfba428" xmlns:ns3="fe0d8461-ebf7-47fe-8f58-67a838edb896" targetNamespace="http://schemas.microsoft.com/office/2006/metadata/properties" ma:root="true" ma:fieldsID="3a3593a00e59b8c6f61e6c4b564ca719" ns2:_="" ns3:_="">
    <xsd:import namespace="9d4d2799-159b-44ed-ac49-d52eddfba428"/>
    <xsd:import namespace="fe0d8461-ebf7-47fe-8f58-67a838edb8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4d2799-159b-44ed-ac49-d52eddfba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74d4cf81-a0b4-4536-9ba2-61f55803b2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d8461-ebf7-47fe-8f58-67a838edb89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7916185-a12b-4a57-bd94-d9dfad9e0da2}" ma:internalName="TaxCatchAll" ma:showField="CatchAllData" ma:web="fe0d8461-ebf7-47fe-8f58-67a838edb8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4d2799-159b-44ed-ac49-d52eddfba428">
      <Terms xmlns="http://schemas.microsoft.com/office/infopath/2007/PartnerControls"/>
    </lcf76f155ced4ddcb4097134ff3c332f>
    <TaxCatchAll xmlns="fe0d8461-ebf7-47fe-8f58-67a838edb89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EB8218-FE59-4309-8F60-EF21BC0157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4d2799-159b-44ed-ac49-d52eddfba428"/>
    <ds:schemaRef ds:uri="fe0d8461-ebf7-47fe-8f58-67a838edb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55507C-6374-4E7F-B2C8-F56B5ECD0E58}">
  <ds:schemaRefs>
    <ds:schemaRef ds:uri="http://schemas.microsoft.com/office/2006/metadata/properties"/>
    <ds:schemaRef ds:uri="http://schemas.microsoft.com/office/infopath/2007/PartnerControls"/>
    <ds:schemaRef ds:uri="9d4d2799-159b-44ed-ac49-d52eddfba428"/>
    <ds:schemaRef ds:uri="fe0d8461-ebf7-47fe-8f58-67a838edb896"/>
  </ds:schemaRefs>
</ds:datastoreItem>
</file>

<file path=customXml/itemProps3.xml><?xml version="1.0" encoding="utf-8"?>
<ds:datastoreItem xmlns:ds="http://schemas.openxmlformats.org/officeDocument/2006/customXml" ds:itemID="{C149D337-EEE7-4B5F-848D-64B3BABDDD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Anyel Miguel Tavarez</dc:creator>
  <cp:keywords/>
  <dc:description/>
  <cp:lastModifiedBy>Claudio Peguero</cp:lastModifiedBy>
  <cp:revision/>
  <dcterms:created xsi:type="dcterms:W3CDTF">2021-12-14T15:58:41Z</dcterms:created>
  <dcterms:modified xsi:type="dcterms:W3CDTF">2026-02-09T12:51:23Z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0x01010078A9D968CF19F3428091E53B2346CCDC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